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iv10\Desktop\Github Data Articles Blanka\"/>
    </mc:Choice>
  </mc:AlternateContent>
  <xr:revisionPtr revIDLastSave="0" documentId="13_ncr:1_{CA33BAC1-D4EA-4329-A850-5DB8EBCC578D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data_sum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8" i="4" l="1"/>
  <c r="J10" i="4"/>
  <c r="J9" i="4"/>
  <c r="K10" i="4" l="1"/>
  <c r="L10" i="4" s="1"/>
  <c r="L20" i="4"/>
  <c r="L21" i="4"/>
  <c r="L22" i="4"/>
  <c r="L23" i="4"/>
  <c r="L19" i="4"/>
  <c r="L18" i="4"/>
  <c r="L16" i="4"/>
  <c r="L14" i="4"/>
  <c r="L12" i="4"/>
  <c r="L24" i="4" l="1"/>
  <c r="L17" i="4"/>
  <c r="L29" i="4"/>
  <c r="L28" i="4"/>
  <c r="L27" i="4"/>
  <c r="L26" i="4"/>
  <c r="L9" i="4"/>
  <c r="J25" i="4"/>
  <c r="K25" i="4" s="1"/>
  <c r="L25" i="4" s="1"/>
  <c r="J15" i="4"/>
  <c r="K15" i="4" s="1"/>
  <c r="L15" i="4" s="1"/>
  <c r="J17" i="4"/>
  <c r="J12" i="4"/>
  <c r="J14" i="4"/>
  <c r="J16" i="4"/>
  <c r="J18" i="4"/>
  <c r="J19" i="4"/>
  <c r="J20" i="4"/>
  <c r="J22" i="4"/>
  <c r="J23" i="4"/>
  <c r="J24" i="4"/>
  <c r="J26" i="4"/>
  <c r="J27" i="4"/>
  <c r="J28" i="4"/>
  <c r="J29" i="4"/>
  <c r="J8" i="4"/>
  <c r="L8" i="4" s="1"/>
</calcChain>
</file>

<file path=xl/sharedStrings.xml><?xml version="1.0" encoding="utf-8"?>
<sst xmlns="http://schemas.openxmlformats.org/spreadsheetml/2006/main" count="96" uniqueCount="41">
  <si>
    <t>10.1038/s41597-019-0129-z</t>
  </si>
  <si>
    <t>10.1038/s41597-019-0161-z</t>
  </si>
  <si>
    <t>10.1038/s41597-019-0254-8</t>
  </si>
  <si>
    <t>10.1016/j.dib.2020.105653</t>
  </si>
  <si>
    <t>10.1038/s41597-020-00597-w</t>
  </si>
  <si>
    <t>10.1038/s41597-020-00773-y</t>
  </si>
  <si>
    <t>10.1038/s41597-020-0487-6</t>
  </si>
  <si>
    <t>10.1038/s41597-020-0495-6</t>
  </si>
  <si>
    <t>10.1016/j.dib.2021.107011</t>
  </si>
  <si>
    <t>10.1016/j.dib.2021.107320</t>
  </si>
  <si>
    <t>10.1016/j.dib.2021.107604</t>
  </si>
  <si>
    <t>10.1038/s41597-021-00913-y</t>
  </si>
  <si>
    <t>10.1016/j.dib.2022.108347</t>
  </si>
  <si>
    <t>10.1016/j.dib.2022.108399</t>
  </si>
  <si>
    <t>10.1016/j.dib.2022.108542</t>
  </si>
  <si>
    <t>10.1016/j.dib.2022.108649</t>
  </si>
  <si>
    <t>10.1016/j.dib.2022.108739</t>
  </si>
  <si>
    <t>10.1038/s41597-022-01401-7</t>
  </si>
  <si>
    <t>10.1038/s41597-022-01532-x</t>
  </si>
  <si>
    <t>10.1038/s41597-022-01669-9</t>
  </si>
  <si>
    <t>10.1038/s41597-022-01806-4</t>
  </si>
  <si>
    <t>10.1038/s41597-022-01822-4</t>
  </si>
  <si>
    <t>10.1016/j.dib.2016.02.047</t>
  </si>
  <si>
    <t>NaN</t>
  </si>
  <si>
    <t>10.1016/j.dib.2016.06.021</t>
  </si>
  <si>
    <t>10.1016/j.dib.2016.07.009</t>
  </si>
  <si>
    <t>10.1016/j.dib.2016.09.012</t>
  </si>
  <si>
    <t>10.1016/j.dib.2017.08.034</t>
  </si>
  <si>
    <t>10.1016/j.dib.2017.11.062</t>
  </si>
  <si>
    <t>Article number</t>
  </si>
  <si>
    <t>N reuse</t>
  </si>
  <si>
    <t>N citations on last checked date</t>
  </si>
  <si>
    <t>N excluded due to limited access</t>
  </si>
  <si>
    <t>N went offline since checking</t>
  </si>
  <si>
    <t>Data article DOI</t>
  </si>
  <si>
    <t>Applicable</t>
  </si>
  <si>
    <t>N excluded due to foreign language</t>
  </si>
  <si>
    <t xml:space="preserve">N excluded due to too many references from citing article </t>
  </si>
  <si>
    <t>Ratio N reuse/articles checked</t>
  </si>
  <si>
    <t>Extrapolated number of missed indirect citations</t>
  </si>
  <si>
    <t>Extrapolated number of indirect citations 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</si>
</sst>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9" fillId="0" borderId="0" xfId="0" applyFont="1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00000000-000B-0000-0000-000008000000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E17AF-E765-478D-AA2D-38199D8DBA61}">
  <dimension ref="A1:L29"/>
  <sheetViews>
    <sheetView tabSelected="1" workbookViewId="0">
      <selection activeCell="L10" sqref="L10"/>
    </sheetView>
  </sheetViews>
  <sheetFormatPr baseColWidth="10" defaultColWidth="9.21875" defaultRowHeight="14.4" x14ac:dyDescent="0.3"/>
  <cols>
    <col min="1" max="1" width="14.44140625" customWidth="1"/>
    <col min="2" max="2" width="28.5546875" customWidth="1"/>
    <col min="3" max="3" width="11.5546875" customWidth="1"/>
    <col min="4" max="4" width="13.77734375" customWidth="1"/>
    <col min="5" max="5" width="18.5546875" customWidth="1"/>
    <col min="6" max="6" width="13.5546875" customWidth="1"/>
    <col min="7" max="7" width="9.77734375" customWidth="1"/>
    <col min="8" max="8" width="16.5546875" customWidth="1"/>
    <col min="9" max="9" width="10.77734375" customWidth="1"/>
  </cols>
  <sheetData>
    <row r="1" spans="1:12" ht="39.75" customHeight="1" x14ac:dyDescent="0.3">
      <c r="A1" t="s">
        <v>29</v>
      </c>
      <c r="B1" t="s">
        <v>34</v>
      </c>
      <c r="C1" t="s">
        <v>30</v>
      </c>
      <c r="D1" t="s">
        <v>35</v>
      </c>
      <c r="E1" t="s">
        <v>31</v>
      </c>
      <c r="F1" t="s">
        <v>36</v>
      </c>
      <c r="G1" t="s">
        <v>32</v>
      </c>
      <c r="H1" s="1" t="s">
        <v>33</v>
      </c>
      <c r="I1" t="s">
        <v>37</v>
      </c>
      <c r="J1" t="s">
        <v>38</v>
      </c>
      <c r="K1" t="s">
        <v>39</v>
      </c>
      <c r="L1" t="s">
        <v>40</v>
      </c>
    </row>
    <row r="2" spans="1:12" x14ac:dyDescent="0.3">
      <c r="A2">
        <v>1</v>
      </c>
      <c r="B2" t="s">
        <v>22</v>
      </c>
      <c r="C2" t="s">
        <v>23</v>
      </c>
      <c r="D2">
        <v>0</v>
      </c>
      <c r="E2">
        <v>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</row>
    <row r="3" spans="1:12" x14ac:dyDescent="0.3">
      <c r="A3">
        <v>2</v>
      </c>
      <c r="B3" t="s">
        <v>24</v>
      </c>
      <c r="C3" t="s">
        <v>23</v>
      </c>
      <c r="D3">
        <v>0</v>
      </c>
      <c r="E3">
        <v>7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</row>
    <row r="4" spans="1:12" x14ac:dyDescent="0.3">
      <c r="A4">
        <v>3</v>
      </c>
      <c r="B4" t="s">
        <v>25</v>
      </c>
      <c r="C4" t="s">
        <v>23</v>
      </c>
      <c r="D4">
        <v>0</v>
      </c>
      <c r="E4">
        <v>4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</row>
    <row r="5" spans="1:12" x14ac:dyDescent="0.3">
      <c r="A5">
        <v>4</v>
      </c>
      <c r="B5" t="s">
        <v>26</v>
      </c>
      <c r="C5" t="s">
        <v>23</v>
      </c>
      <c r="D5">
        <v>0</v>
      </c>
      <c r="E5">
        <v>9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</row>
    <row r="6" spans="1:12" x14ac:dyDescent="0.3">
      <c r="A6">
        <v>5</v>
      </c>
      <c r="B6" t="s">
        <v>27</v>
      </c>
      <c r="C6" t="s">
        <v>23</v>
      </c>
      <c r="D6">
        <v>0</v>
      </c>
      <c r="E6">
        <v>4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</row>
    <row r="7" spans="1:12" x14ac:dyDescent="0.3">
      <c r="A7">
        <v>6</v>
      </c>
      <c r="B7" t="s">
        <v>28</v>
      </c>
      <c r="C7" t="s">
        <v>23</v>
      </c>
      <c r="D7">
        <v>0</v>
      </c>
      <c r="E7">
        <v>1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</row>
    <row r="8" spans="1:12" x14ac:dyDescent="0.3">
      <c r="A8">
        <v>7</v>
      </c>
      <c r="B8" t="s">
        <v>0</v>
      </c>
      <c r="C8">
        <v>9</v>
      </c>
      <c r="D8">
        <v>1</v>
      </c>
      <c r="E8">
        <v>66</v>
      </c>
      <c r="F8">
        <v>0</v>
      </c>
      <c r="G8">
        <v>4</v>
      </c>
      <c r="H8">
        <v>0</v>
      </c>
      <c r="J8">
        <f>C8/60</f>
        <v>0.15</v>
      </c>
      <c r="K8">
        <f>ROUND(J8*(E8-60),0)</f>
        <v>1</v>
      </c>
      <c r="L8">
        <f>K8+C8</f>
        <v>10</v>
      </c>
    </row>
    <row r="9" spans="1:12" x14ac:dyDescent="0.3">
      <c r="A9">
        <v>8</v>
      </c>
      <c r="B9" t="s">
        <v>1</v>
      </c>
      <c r="C9">
        <v>1</v>
      </c>
      <c r="D9">
        <v>1</v>
      </c>
      <c r="E9">
        <v>28</v>
      </c>
      <c r="F9">
        <v>1</v>
      </c>
      <c r="G9">
        <v>1</v>
      </c>
      <c r="H9">
        <v>0</v>
      </c>
      <c r="J9">
        <f>C9/E9</f>
        <v>3.5714285714285712E-2</v>
      </c>
      <c r="L9">
        <f>C9</f>
        <v>1</v>
      </c>
    </row>
    <row r="10" spans="1:12" x14ac:dyDescent="0.3">
      <c r="A10">
        <v>9</v>
      </c>
      <c r="B10" t="s">
        <v>2</v>
      </c>
      <c r="C10">
        <v>28</v>
      </c>
      <c r="D10">
        <v>1</v>
      </c>
      <c r="E10">
        <v>239</v>
      </c>
      <c r="F10">
        <v>0</v>
      </c>
      <c r="G10">
        <v>8</v>
      </c>
      <c r="H10">
        <v>0</v>
      </c>
      <c r="I10">
        <v>1</v>
      </c>
      <c r="J10">
        <f>C10/60</f>
        <v>0.46666666666666667</v>
      </c>
      <c r="K10">
        <f>ROUND(J10*(E10-60),0)</f>
        <v>84</v>
      </c>
      <c r="L10">
        <f>K10+C10</f>
        <v>112</v>
      </c>
    </row>
    <row r="11" spans="1:12" x14ac:dyDescent="0.3">
      <c r="A11">
        <v>10</v>
      </c>
      <c r="B11" t="s">
        <v>3</v>
      </c>
      <c r="C11" t="s">
        <v>23</v>
      </c>
      <c r="D11">
        <v>0</v>
      </c>
      <c r="E11">
        <v>6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</row>
    <row r="12" spans="1:12" x14ac:dyDescent="0.3">
      <c r="A12">
        <v>11</v>
      </c>
      <c r="B12" t="s">
        <v>4</v>
      </c>
      <c r="C12">
        <v>4</v>
      </c>
      <c r="D12">
        <v>1</v>
      </c>
      <c r="E12">
        <v>55</v>
      </c>
      <c r="F12">
        <v>1</v>
      </c>
      <c r="G12">
        <v>4</v>
      </c>
      <c r="H12">
        <v>0</v>
      </c>
      <c r="J12">
        <f t="shared" ref="J12:J29" si="0">C12/E12</f>
        <v>7.2727272727272724E-2</v>
      </c>
      <c r="L12">
        <f>C12</f>
        <v>4</v>
      </c>
    </row>
    <row r="13" spans="1:12" x14ac:dyDescent="0.3">
      <c r="A13">
        <v>12</v>
      </c>
      <c r="B13" t="s">
        <v>5</v>
      </c>
      <c r="C13">
        <v>0</v>
      </c>
      <c r="D13">
        <v>1</v>
      </c>
      <c r="E13">
        <v>65</v>
      </c>
      <c r="F13">
        <v>0</v>
      </c>
      <c r="G13">
        <v>0</v>
      </c>
      <c r="H13">
        <v>0</v>
      </c>
      <c r="J13">
        <v>0</v>
      </c>
      <c r="L13">
        <v>0</v>
      </c>
    </row>
    <row r="14" spans="1:12" x14ac:dyDescent="0.3">
      <c r="A14">
        <v>13</v>
      </c>
      <c r="B14" t="s">
        <v>6</v>
      </c>
      <c r="C14">
        <v>0</v>
      </c>
      <c r="D14">
        <v>1</v>
      </c>
      <c r="E14">
        <v>31</v>
      </c>
      <c r="F14">
        <v>0</v>
      </c>
      <c r="G14">
        <v>0</v>
      </c>
      <c r="H14">
        <v>0</v>
      </c>
      <c r="J14">
        <f t="shared" si="0"/>
        <v>0</v>
      </c>
      <c r="L14">
        <f>C14</f>
        <v>0</v>
      </c>
    </row>
    <row r="15" spans="1:12" x14ac:dyDescent="0.3">
      <c r="A15">
        <v>14</v>
      </c>
      <c r="B15" t="s">
        <v>7</v>
      </c>
      <c r="C15">
        <v>40</v>
      </c>
      <c r="D15">
        <v>1</v>
      </c>
      <c r="E15">
        <v>993</v>
      </c>
      <c r="F15">
        <v>1</v>
      </c>
      <c r="G15">
        <v>6</v>
      </c>
      <c r="H15">
        <v>0</v>
      </c>
      <c r="I15">
        <v>1</v>
      </c>
      <c r="J15">
        <f>C15/60</f>
        <v>0.66666666666666663</v>
      </c>
      <c r="K15">
        <f>ROUND(J15*(E15-60),0)</f>
        <v>622</v>
      </c>
      <c r="L15">
        <f>K15+C15</f>
        <v>662</v>
      </c>
    </row>
    <row r="16" spans="1:12" x14ac:dyDescent="0.3">
      <c r="A16">
        <v>15</v>
      </c>
      <c r="B16" t="s">
        <v>8</v>
      </c>
      <c r="C16">
        <v>0</v>
      </c>
      <c r="D16">
        <v>1</v>
      </c>
      <c r="E16">
        <v>2</v>
      </c>
      <c r="F16">
        <v>0</v>
      </c>
      <c r="G16">
        <v>0</v>
      </c>
      <c r="H16">
        <v>0</v>
      </c>
      <c r="J16">
        <f t="shared" si="0"/>
        <v>0</v>
      </c>
      <c r="L16">
        <f>C16</f>
        <v>0</v>
      </c>
    </row>
    <row r="17" spans="1:12" x14ac:dyDescent="0.3">
      <c r="A17">
        <v>16</v>
      </c>
      <c r="B17" t="s">
        <v>9</v>
      </c>
      <c r="C17">
        <v>1</v>
      </c>
      <c r="D17">
        <v>1</v>
      </c>
      <c r="E17">
        <v>3</v>
      </c>
      <c r="F17">
        <v>0</v>
      </c>
      <c r="G17">
        <v>0</v>
      </c>
      <c r="H17">
        <v>0</v>
      </c>
      <c r="J17">
        <f>C17/E17</f>
        <v>0.33333333333333331</v>
      </c>
      <c r="L17">
        <f>C17</f>
        <v>1</v>
      </c>
    </row>
    <row r="18" spans="1:12" x14ac:dyDescent="0.3">
      <c r="A18">
        <v>17</v>
      </c>
      <c r="B18" t="s">
        <v>10</v>
      </c>
      <c r="C18">
        <v>0</v>
      </c>
      <c r="D18">
        <v>1</v>
      </c>
      <c r="E18">
        <v>2</v>
      </c>
      <c r="F18">
        <v>0</v>
      </c>
      <c r="G18">
        <v>0</v>
      </c>
      <c r="H18">
        <v>0</v>
      </c>
      <c r="J18">
        <f t="shared" si="0"/>
        <v>0</v>
      </c>
      <c r="L18">
        <f>C18</f>
        <v>0</v>
      </c>
    </row>
    <row r="19" spans="1:12" ht="15.6" x14ac:dyDescent="0.3">
      <c r="A19">
        <v>18</v>
      </c>
      <c r="B19" t="s">
        <v>11</v>
      </c>
      <c r="C19" s="2">
        <v>0</v>
      </c>
      <c r="D19">
        <v>1</v>
      </c>
      <c r="E19">
        <v>12</v>
      </c>
      <c r="F19">
        <v>4</v>
      </c>
      <c r="G19">
        <v>0</v>
      </c>
      <c r="H19">
        <v>0</v>
      </c>
      <c r="J19">
        <f t="shared" si="0"/>
        <v>0</v>
      </c>
      <c r="L19">
        <f>C19</f>
        <v>0</v>
      </c>
    </row>
    <row r="20" spans="1:12" ht="15.6" x14ac:dyDescent="0.3">
      <c r="A20">
        <v>19</v>
      </c>
      <c r="B20" t="s">
        <v>12</v>
      </c>
      <c r="C20" s="2">
        <v>0</v>
      </c>
      <c r="D20">
        <v>1</v>
      </c>
      <c r="E20">
        <v>7</v>
      </c>
      <c r="F20">
        <v>1</v>
      </c>
      <c r="G20">
        <v>1</v>
      </c>
      <c r="H20">
        <v>0</v>
      </c>
      <c r="J20">
        <f t="shared" si="0"/>
        <v>0</v>
      </c>
      <c r="L20">
        <f t="shared" ref="L20:L23" si="1">C20</f>
        <v>0</v>
      </c>
    </row>
    <row r="21" spans="1:12" ht="15.6" x14ac:dyDescent="0.3">
      <c r="A21">
        <v>20</v>
      </c>
      <c r="B21" t="s">
        <v>13</v>
      </c>
      <c r="C21" s="2">
        <v>0</v>
      </c>
      <c r="D21">
        <v>1</v>
      </c>
      <c r="E21">
        <v>0</v>
      </c>
      <c r="F21">
        <v>0</v>
      </c>
      <c r="G21">
        <v>0</v>
      </c>
      <c r="H21">
        <v>0</v>
      </c>
      <c r="J21">
        <v>0</v>
      </c>
      <c r="L21">
        <f t="shared" si="1"/>
        <v>0</v>
      </c>
    </row>
    <row r="22" spans="1:12" ht="15.6" x14ac:dyDescent="0.3">
      <c r="A22">
        <v>21</v>
      </c>
      <c r="B22" t="s">
        <v>14</v>
      </c>
      <c r="C22" s="2">
        <v>0</v>
      </c>
      <c r="D22">
        <v>1</v>
      </c>
      <c r="E22">
        <v>5</v>
      </c>
      <c r="F22">
        <v>1</v>
      </c>
      <c r="G22">
        <v>0</v>
      </c>
      <c r="H22">
        <v>0</v>
      </c>
      <c r="J22">
        <f t="shared" si="0"/>
        <v>0</v>
      </c>
      <c r="L22">
        <f t="shared" si="1"/>
        <v>0</v>
      </c>
    </row>
    <row r="23" spans="1:12" ht="15.6" x14ac:dyDescent="0.3">
      <c r="A23">
        <v>22</v>
      </c>
      <c r="B23" t="s">
        <v>15</v>
      </c>
      <c r="C23" s="2">
        <v>0</v>
      </c>
      <c r="D23">
        <v>1</v>
      </c>
      <c r="E23">
        <v>3</v>
      </c>
      <c r="F23">
        <v>0</v>
      </c>
      <c r="G23">
        <v>0</v>
      </c>
      <c r="H23">
        <v>0</v>
      </c>
      <c r="J23">
        <f t="shared" si="0"/>
        <v>0</v>
      </c>
      <c r="L23">
        <f t="shared" si="1"/>
        <v>0</v>
      </c>
    </row>
    <row r="24" spans="1:12" x14ac:dyDescent="0.3">
      <c r="A24">
        <v>23</v>
      </c>
      <c r="B24" t="s">
        <v>16</v>
      </c>
      <c r="C24">
        <v>4</v>
      </c>
      <c r="D24">
        <v>1</v>
      </c>
      <c r="E24">
        <v>11</v>
      </c>
      <c r="F24">
        <v>1</v>
      </c>
      <c r="G24">
        <v>1</v>
      </c>
      <c r="H24">
        <v>0</v>
      </c>
      <c r="I24">
        <v>1</v>
      </c>
      <c r="J24">
        <f t="shared" si="0"/>
        <v>0.36363636363636365</v>
      </c>
      <c r="L24">
        <f>C24</f>
        <v>4</v>
      </c>
    </row>
    <row r="25" spans="1:12" x14ac:dyDescent="0.3">
      <c r="A25">
        <v>24</v>
      </c>
      <c r="B25" t="s">
        <v>17</v>
      </c>
      <c r="C25">
        <v>23</v>
      </c>
      <c r="D25">
        <v>1</v>
      </c>
      <c r="E25">
        <v>128</v>
      </c>
      <c r="F25">
        <v>1</v>
      </c>
      <c r="G25">
        <v>7</v>
      </c>
      <c r="H25">
        <v>1</v>
      </c>
      <c r="J25">
        <f>C25/60</f>
        <v>0.38333333333333336</v>
      </c>
      <c r="K25">
        <f>ROUND(J25*(E25-60),0)</f>
        <v>26</v>
      </c>
      <c r="L25">
        <f>K25+C25</f>
        <v>49</v>
      </c>
    </row>
    <row r="26" spans="1:12" x14ac:dyDescent="0.3">
      <c r="A26">
        <v>25</v>
      </c>
      <c r="B26" t="s">
        <v>18</v>
      </c>
      <c r="C26">
        <v>0</v>
      </c>
      <c r="D26">
        <v>1</v>
      </c>
      <c r="E26">
        <v>28</v>
      </c>
      <c r="F26">
        <v>0</v>
      </c>
      <c r="G26">
        <v>0</v>
      </c>
      <c r="H26">
        <v>0</v>
      </c>
      <c r="J26">
        <f t="shared" si="0"/>
        <v>0</v>
      </c>
      <c r="L26">
        <f>C26</f>
        <v>0</v>
      </c>
    </row>
    <row r="27" spans="1:12" x14ac:dyDescent="0.3">
      <c r="A27">
        <v>26</v>
      </c>
      <c r="B27" t="s">
        <v>19</v>
      </c>
      <c r="C27">
        <v>0</v>
      </c>
      <c r="D27">
        <v>1</v>
      </c>
      <c r="E27">
        <v>8</v>
      </c>
      <c r="F27">
        <v>0</v>
      </c>
      <c r="G27">
        <v>1</v>
      </c>
      <c r="H27">
        <v>0</v>
      </c>
      <c r="J27">
        <f t="shared" si="0"/>
        <v>0</v>
      </c>
      <c r="L27">
        <f>C27</f>
        <v>0</v>
      </c>
    </row>
    <row r="28" spans="1:12" x14ac:dyDescent="0.3">
      <c r="A28">
        <v>27</v>
      </c>
      <c r="B28" t="s">
        <v>20</v>
      </c>
      <c r="C28">
        <v>2</v>
      </c>
      <c r="D28">
        <v>1</v>
      </c>
      <c r="E28">
        <v>14</v>
      </c>
      <c r="F28">
        <v>0</v>
      </c>
      <c r="G28">
        <v>3</v>
      </c>
      <c r="H28">
        <v>0</v>
      </c>
      <c r="J28">
        <f t="shared" si="0"/>
        <v>0.14285714285714285</v>
      </c>
      <c r="L28">
        <f>C28</f>
        <v>2</v>
      </c>
    </row>
    <row r="29" spans="1:12" x14ac:dyDescent="0.3">
      <c r="A29">
        <v>28</v>
      </c>
      <c r="B29" t="s">
        <v>21</v>
      </c>
      <c r="C29">
        <v>1</v>
      </c>
      <c r="D29">
        <v>1</v>
      </c>
      <c r="E29">
        <v>28</v>
      </c>
      <c r="F29">
        <v>1</v>
      </c>
      <c r="G29">
        <v>1</v>
      </c>
      <c r="H29">
        <v>0</v>
      </c>
      <c r="J29">
        <f t="shared" si="0"/>
        <v>3.5714285714285712E-2</v>
      </c>
      <c r="L29">
        <f>C29</f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84d40-090a-490d-8a02-2942ffba970a" xsi:nil="true"/>
    <lcf76f155ced4ddcb4097134ff3c332f xmlns="aaacefca-f467-416c-abd0-2b181dff1e2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29FD0B41DD07841BED16965712E158C" ma:contentTypeVersion="11" ma:contentTypeDescription="Ein neues Dokument erstellen." ma:contentTypeScope="" ma:versionID="e8d63f71233e6ab4f1b448a0a865ebeb">
  <xsd:schema xmlns:xsd="http://www.w3.org/2001/XMLSchema" xmlns:xs="http://www.w3.org/2001/XMLSchema" xmlns:p="http://schemas.microsoft.com/office/2006/metadata/properties" xmlns:ns2="aaacefca-f467-416c-abd0-2b181dff1e20" xmlns:ns3="a0e84d40-090a-490d-8a02-2942ffba970a" targetNamespace="http://schemas.microsoft.com/office/2006/metadata/properties" ma:root="true" ma:fieldsID="bb36b253229a145d32e7027f701a87f0" ns2:_="" ns3:_="">
    <xsd:import namespace="aaacefca-f467-416c-abd0-2b181dff1e20"/>
    <xsd:import namespace="a0e84d40-090a-490d-8a02-2942ffba97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cefca-f467-416c-abd0-2b181dff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2375ea7b-1eef-4e91-915e-32e4cb5a9c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84d40-090a-490d-8a02-2942ffba970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1b93042-dae5-4a91-aee7-e8b26f1570c8}" ma:internalName="TaxCatchAll" ma:showField="CatchAllData" ma:web="a0e84d40-090a-490d-8a02-2942ffba97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D3F5D9-F66A-401E-BC58-4588B5177296}">
  <ds:schemaRefs>
    <ds:schemaRef ds:uri="http://schemas.microsoft.com/office/2006/metadata/properties"/>
    <ds:schemaRef ds:uri="http://schemas.microsoft.com/office/infopath/2007/PartnerControls"/>
    <ds:schemaRef ds:uri="a0e84d40-090a-490d-8a02-2942ffba970a"/>
    <ds:schemaRef ds:uri="aaacefca-f467-416c-abd0-2b181dff1e20"/>
  </ds:schemaRefs>
</ds:datastoreItem>
</file>

<file path=customXml/itemProps2.xml><?xml version="1.0" encoding="utf-8"?>
<ds:datastoreItem xmlns:ds="http://schemas.openxmlformats.org/officeDocument/2006/customXml" ds:itemID="{29E293C4-885E-47C7-B36A-6AC1C731FF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acefca-f467-416c-abd0-2b181dff1e20"/>
    <ds:schemaRef ds:uri="a0e84d40-090a-490d-8a02-2942ffba97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7AA23E-A486-48B9-BA40-113933E289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data_sum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Bobrov, Evgeny</dc:creator>
  <cp:keywords/>
  <dc:description/>
  <cp:lastModifiedBy>Ivanovic, Blanka</cp:lastModifiedBy>
  <cp:revision/>
  <dcterms:created xsi:type="dcterms:W3CDTF">2024-08-20T08:17:10Z</dcterms:created>
  <dcterms:modified xsi:type="dcterms:W3CDTF">2026-03-10T13:19:41Z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0x010100029FD0B41DD07841BED16965712E158C</vt:lpwstr>
  </property>
  <property fmtid="{D5CDD505-2E9C-101B-9397-08002B2CF9AE}" pid="3" name="Order">
    <vt:r8>914200</vt:r8>
  </property>
  <property fmtid="{D5CDD505-2E9C-101B-9397-08002B2CF9AE}" pid="4" name="TriggerFlowInfo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MediaServiceImageTags">
    <vt:lpwstr/>
  </property>
</Properties>
</file>